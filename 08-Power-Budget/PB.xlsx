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thesm\Documents\SCHOOL\EGR 314\"/>
    </mc:Choice>
  </mc:AlternateContent>
  <xr:revisionPtr revIDLastSave="0" documentId="13_ncr:1_{24759CF9-2B90-4EA4-A6C0-973E64A1954F}" xr6:coauthVersionLast="47" xr6:coauthVersionMax="47" xr10:uidLastSave="{00000000-0000-0000-0000-000000000000}"/>
  <bookViews>
    <workbookView xWindow="-120" yWindow="-120" windowWidth="29040" windowHeight="1572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3" i="1" l="1"/>
  <c r="G39" i="1"/>
  <c r="G34" i="1"/>
  <c r="G33" i="1"/>
  <c r="G32" i="1"/>
  <c r="G31" i="1"/>
  <c r="G30" i="1"/>
  <c r="G27" i="1"/>
  <c r="G22" i="1"/>
  <c r="G21" i="1"/>
  <c r="G20" i="1"/>
  <c r="G19" i="1"/>
  <c r="G18" i="1"/>
  <c r="G11" i="1"/>
  <c r="G10" i="1"/>
  <c r="G9" i="1"/>
  <c r="G35" i="1" l="1"/>
  <c r="G37" i="1" s="1"/>
  <c r="G40" i="1" s="1"/>
  <c r="G23" i="1"/>
  <c r="G25" i="1" s="1"/>
  <c r="G2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<sst xmlns="http://schemas.openxmlformats.org/spreadsheetml/2006/main" count="114" uniqueCount="53">
  <si>
    <t>Power Budget Example</t>
  </si>
  <si>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</si>
  <si>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</si>
  <si>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</si>
  <si>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</si>
  <si>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</si>
  <si>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</si>
  <si>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</si>
  <si>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</si>
  <si>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</si>
  <si>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</si>
  <si>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</si>
  <si>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</si>
  <si>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</si>
  <si>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(full part number)</t>
  </si>
  <si>
    <t>mA</t>
  </si>
  <si>
    <t>B. Assign each major component above to ONE power rail below. Try to minimize the number of different power rails in the design. 
Add additional power rails or change the power rail voltages if needed.</t>
  </si>
  <si>
    <t xml:space="preserve">Subtotal </t>
  </si>
  <si>
    <t>Safety Margin</t>
  </si>
  <si>
    <t>c1. Regulator or Source Choice</t>
  </si>
  <si>
    <t>c2. Regulator or Source Choice</t>
  </si>
  <si>
    <t>Total Remaining Current Available on +5V Rail</t>
  </si>
  <si>
    <t xml:space="preserve"> +3.3V Power Rail</t>
  </si>
  <si>
    <t>Total Current Required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</si>
  <si>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</si>
  <si>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</si>
  <si>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</si>
  <si>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</si>
  <si>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</si>
  <si>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</si>
  <si>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</si>
  <si>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</si>
  <si>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Mars Exploration Rover</t>
  </si>
  <si>
    <t>Liam Mabbutt</t>
  </si>
  <si>
    <t>ESP32-S3-WROOM-1-N4</t>
  </si>
  <si>
    <t>3.3V</t>
  </si>
  <si>
    <t>H-Bridge Motor Driver</t>
  </si>
  <si>
    <t>IFX9201SGAUMA1</t>
  </si>
  <si>
    <t>9V</t>
  </si>
  <si>
    <t>DC Gearmotor</t>
  </si>
  <si>
    <t>Pololu 4843</t>
  </si>
  <si>
    <t xml:space="preserve"> +9V Power Rail</t>
  </si>
  <si>
    <t xml:space="preserve"> +9V Wall Supply</t>
  </si>
  <si>
    <t>Wall Supply Barrel Jack</t>
  </si>
  <si>
    <t>Total Remaining Current Available on +9V Rail</t>
  </si>
  <si>
    <t xml:space="preserve">ESP32 </t>
  </si>
  <si>
    <t>Total Current Required on +9V Rail</t>
  </si>
  <si>
    <t>3.3V Regulator</t>
  </si>
  <si>
    <t>TPS563201DDCT</t>
  </si>
  <si>
    <t>3.3V Rail: TPS563201DDCT, Input 9V, Output 3.3V up to 3A. Required: 625mA, Headroom: 2375mA</t>
  </si>
  <si>
    <t>9V DC</t>
  </si>
  <si>
    <t>3.3V Switching Regulator</t>
  </si>
  <si>
    <t>4.5V to 17V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</si>
</sst>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1">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8" fillId="0" borderId="0" xfId="0" applyFont="1"/>
    <xf numFmtId="0" fontId="0" fillId="0" borderId="9" xfId="0" applyBorder="1" applyAlignment="1">
      <alignment horizontal="center"/>
    </xf>
    <xf numFmtId="0" fontId="7" fillId="2" borderId="1" xfId="0" applyFont="1" applyFill="1" applyBorder="1"/>
    <xf numFmtId="0" fontId="2" fillId="3" borderId="8" xfId="0" applyFont="1" applyFill="1" applyBorder="1"/>
    <xf numFmtId="0" fontId="2" fillId="3" borderId="16" xfId="0" applyFont="1" applyFill="1" applyBorder="1"/>
    <xf numFmtId="0" fontId="4" fillId="3" borderId="17" xfId="0" applyFont="1" applyFill="1" applyBorder="1" applyAlignment="1">
      <alignment horizontal="center"/>
    </xf>
    <xf numFmtId="0" fontId="4" fillId="3" borderId="18" xfId="0" applyFont="1" applyFill="1" applyBorder="1" applyAlignment="1">
      <alignment horizontal="center"/>
    </xf>
    <xf numFmtId="0" fontId="4" fillId="3" borderId="9" xfId="0" applyFont="1" applyFill="1" applyBorder="1" applyAlignment="1">
      <alignment horizontal="center"/>
    </xf>
    <xf numFmtId="0" fontId="2" fillId="3" borderId="9" xfId="0" applyFont="1" applyFill="1" applyBorder="1"/>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3" fillId="0" borderId="12" xfId="0" applyFont="1" applyBorder="1"/>
    <xf numFmtId="49" fontId="5" fillId="0" borderId="0" xfId="0" applyNumberFormat="1" applyFont="1" applyAlignment="1">
      <alignment horizontal="right"/>
    </xf>
    <xf numFmtId="0" fontId="5" fillId="0" borderId="11" xfId="0" applyFont="1" applyBorder="1" applyAlignment="1">
      <alignment wrapText="1"/>
    </xf>
    <xf numFmtId="0" fontId="3" fillId="0" borderId="13" xfId="0" applyFont="1" applyBorder="1"/>
    <xf numFmtId="0" fontId="6" fillId="0" borderId="0" xfId="0" applyFont="1" applyAlignment="1">
      <alignment wrapText="1"/>
    </xf>
    <xf numFmtId="0" fontId="9" fillId="4" borderId="0" xfId="0" applyFont="1" applyFill="1" applyAlignment="1">
      <alignment horizontal="left" wrapText="1"/>
    </xf>
    <xf numFmtId="0" fontId="4" fillId="0" borderId="8" xfId="0" applyFont="1" applyBorder="1" applyAlignment="1">
      <alignment horizontal="left" vertical="center" wrapText="1"/>
    </xf>
    <xf numFmtId="0" fontId="3" fillId="0" borderId="8" xfId="0" applyFont="1" applyBorder="1"/>
    <xf numFmtId="0" fontId="3" fillId="0" borderId="15" xfId="0" applyFont="1" applyBorder="1"/>
    <xf numFmtId="0" fontId="0" fillId="0" borderId="0" xfId="0" applyAlignment="1">
      <alignment horizontal="right"/>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9"/>
  <sheetViews>
    <sheetView tabSelected="1" workbookViewId="0">
      <selection activeCell="B51" sqref="B51:F51"/>
    </sheetView>
  </sheetViews>
  <sheetFormatPr defaultColWidth="13.5" defaultRowHeight="15.75" customHeight="1" x14ac:dyDescent="0.25"/>
  <cols>
    <col min="1" max="1" width="33.75" customWidth="1"/>
    <col min="2" max="2" width="23.125" customWidth="1"/>
    <col min="3" max="3" width="29.5" customWidth="1"/>
    <col min="4" max="4" width="32.375" customWidth="1"/>
    <col min="5" max="5" width="12.75" customWidth="1"/>
    <col min="6" max="6" width="36.375" customWidth="1"/>
    <col min="7" max="7" width="27.5" customWidth="1"/>
    <col min="8" max="8" width="9" customWidth="1"/>
  </cols>
  <sheetData>
    <row r="1" spans="1:8" ht="30" customHeight="1" x14ac:dyDescent="0.5">
      <c r="A1" s="53" t="s">
        <v>0</v>
      </c>
      <c r="B1" s="54"/>
      <c r="C1" s="54"/>
      <c r="D1" s="54"/>
      <c r="E1" s="54"/>
      <c r="F1" s="54"/>
      <c r="G1" s="54"/>
      <c r="H1" s="54"/>
    </row>
    <row r="2" spans="1:8" ht="15" customHeight="1" x14ac:dyDescent="0.25">
      <c r="A2" s="1" t="s">
        <v>1</v>
      </c>
      <c r="B2" s="2">
        <v>305</v>
      </c>
      <c r="D2" s="3"/>
      <c r="E2" s="3"/>
    </row>
    <row r="3" spans="1:8" ht="15" customHeight="1" x14ac:dyDescent="0.25">
      <c r="A3" s="4" t="s">
        <v>2</v>
      </c>
      <c r="B3" s="1" t="s">
        <v>32</v>
      </c>
      <c r="C3" s="5"/>
      <c r="D3" s="3"/>
      <c r="E3" s="3"/>
      <c r="F3" s="5"/>
      <c r="G3" s="5"/>
      <c r="H3" s="5"/>
    </row>
    <row r="4" spans="1:8" ht="15" customHeight="1" x14ac:dyDescent="0.25">
      <c r="A4" s="4" t="s">
        <v>3</v>
      </c>
      <c r="B4" s="1" t="s">
        <v>33</v>
      </c>
      <c r="C4" s="5"/>
      <c r="D4" s="3"/>
      <c r="E4" s="3"/>
      <c r="F4" s="5"/>
      <c r="G4" s="5"/>
      <c r="H4" s="5"/>
    </row>
    <row r="5" spans="1:8" ht="15" customHeight="1" x14ac:dyDescent="0.25">
      <c r="A5" s="4" t="s">
        <v>4</v>
      </c>
      <c r="B5" s="1">
        <v>1</v>
      </c>
      <c r="C5" s="5"/>
      <c r="D5" s="3"/>
      <c r="E5" s="3"/>
      <c r="F5" s="5"/>
      <c r="G5" s="5"/>
      <c r="H5" s="5"/>
    </row>
    <row r="6" spans="1:8" ht="15" customHeight="1" x14ac:dyDescent="0.25">
      <c r="A6" s="6"/>
      <c r="B6" s="5"/>
      <c r="C6" s="5"/>
      <c r="D6" s="3"/>
      <c r="E6" s="3"/>
      <c r="F6" s="5"/>
      <c r="G6" s="5"/>
      <c r="H6" s="5"/>
    </row>
    <row r="7" spans="1:8" ht="15" customHeight="1" x14ac:dyDescent="0.25">
      <c r="A7" s="55" t="s">
        <v>5</v>
      </c>
      <c r="B7" s="56"/>
      <c r="C7" s="56"/>
      <c r="D7" s="56"/>
      <c r="E7" s="56"/>
      <c r="F7" s="56"/>
      <c r="G7" s="56"/>
      <c r="H7" s="57"/>
    </row>
    <row r="8" spans="1:8" ht="15" customHeight="1" x14ac:dyDescent="0.25">
      <c r="A8" s="7" t="s">
        <v>6</v>
      </c>
      <c r="B8" s="8" t="s">
        <v>7</v>
      </c>
      <c r="C8" s="8" t="s">
        <v>8</v>
      </c>
      <c r="D8" s="9" t="s">
        <v>9</v>
      </c>
      <c r="E8" s="9" t="s">
        <v>10</v>
      </c>
      <c r="F8" s="10" t="s">
        <v>11</v>
      </c>
      <c r="G8" s="11" t="s">
        <v>12</v>
      </c>
      <c r="H8" s="11" t="s">
        <v>13</v>
      </c>
    </row>
    <row r="9" spans="1:8" ht="15" customHeight="1" x14ac:dyDescent="0.25">
      <c r="A9" s="12"/>
      <c r="B9" t="s">
        <v>45</v>
      </c>
      <c r="C9" t="s">
        <v>34</v>
      </c>
      <c r="D9" s="70" t="s">
        <v>35</v>
      </c>
      <c r="E9" s="14">
        <v>1</v>
      </c>
      <c r="F9">
        <v>500</v>
      </c>
      <c r="G9" s="15">
        <f t="shared" ref="G9:G13" si="0">E9*F9</f>
        <v>500</v>
      </c>
      <c r="H9" s="16" t="s">
        <v>15</v>
      </c>
    </row>
    <row r="10" spans="1:8" ht="15" customHeight="1" x14ac:dyDescent="0.25">
      <c r="A10" s="12"/>
      <c r="B10" t="s">
        <v>36</v>
      </c>
      <c r="C10" t="s">
        <v>37</v>
      </c>
      <c r="D10" s="70" t="s">
        <v>38</v>
      </c>
      <c r="E10" s="14">
        <v>1</v>
      </c>
      <c r="F10">
        <v>13</v>
      </c>
      <c r="G10" s="15">
        <f t="shared" si="0"/>
        <v>13</v>
      </c>
      <c r="H10" s="16" t="s">
        <v>15</v>
      </c>
    </row>
    <row r="11" spans="1:8" ht="15" customHeight="1" x14ac:dyDescent="0.25">
      <c r="A11" s="12"/>
      <c r="B11" t="s">
        <v>39</v>
      </c>
      <c r="C11" t="s">
        <v>40</v>
      </c>
      <c r="D11" s="70" t="s">
        <v>38</v>
      </c>
      <c r="E11" s="14">
        <v>1</v>
      </c>
      <c r="F11">
        <v>2000</v>
      </c>
      <c r="G11" s="15">
        <f t="shared" si="0"/>
        <v>2000</v>
      </c>
      <c r="H11" s="16" t="s">
        <v>15</v>
      </c>
    </row>
    <row r="12" spans="1:8" ht="15" customHeight="1" x14ac:dyDescent="0.25">
      <c r="A12" s="12"/>
      <c r="B12" s="17"/>
      <c r="C12" s="17"/>
      <c r="D12" s="18"/>
      <c r="E12" s="13"/>
      <c r="F12" s="17"/>
      <c r="G12" s="15"/>
      <c r="H12" s="16"/>
    </row>
    <row r="13" spans="1:8" ht="15" customHeight="1" x14ac:dyDescent="0.25">
      <c r="A13" s="12"/>
      <c r="C13" s="17"/>
      <c r="D13" s="13"/>
      <c r="E13" s="14"/>
      <c r="G13" s="15"/>
      <c r="H13" s="16"/>
    </row>
    <row r="14" spans="1:8" ht="15" customHeight="1" x14ac:dyDescent="0.25">
      <c r="A14" s="12"/>
      <c r="B14" s="17"/>
      <c r="D14" s="13"/>
      <c r="E14" s="14"/>
      <c r="G14" s="15"/>
      <c r="H14" s="16"/>
    </row>
    <row r="15" spans="1:8" ht="15" customHeight="1" x14ac:dyDescent="0.25">
      <c r="A15" s="19"/>
      <c r="B15" s="6"/>
      <c r="C15" s="5"/>
      <c r="D15" s="20"/>
      <c r="E15" s="3"/>
      <c r="F15" s="5"/>
      <c r="G15" s="21"/>
      <c r="H15" s="21"/>
    </row>
    <row r="16" spans="1:8" ht="15" customHeight="1" x14ac:dyDescent="0.25">
      <c r="A16" s="55" t="s">
        <v>16</v>
      </c>
      <c r="B16" s="56"/>
      <c r="C16" s="56"/>
      <c r="D16" s="56"/>
      <c r="E16" s="56"/>
      <c r="F16" s="56"/>
      <c r="G16" s="56"/>
      <c r="H16" s="57"/>
    </row>
    <row r="17" spans="1:8" ht="15" customHeight="1" x14ac:dyDescent="0.25">
      <c r="A17" s="22" t="s">
        <v>41</v>
      </c>
      <c r="B17" s="8" t="s">
        <v>7</v>
      </c>
      <c r="C17" s="8" t="s">
        <v>8</v>
      </c>
      <c r="D17" s="9" t="s">
        <v>9</v>
      </c>
      <c r="E17" s="9" t="s">
        <v>10</v>
      </c>
      <c r="F17" s="10" t="s">
        <v>11</v>
      </c>
      <c r="G17" s="11" t="s">
        <v>12</v>
      </c>
      <c r="H17" s="11" t="s">
        <v>13</v>
      </c>
    </row>
    <row r="18" spans="1:8" ht="15" customHeight="1" x14ac:dyDescent="0.25">
      <c r="A18" s="12"/>
      <c r="B18" t="s">
        <v>36</v>
      </c>
      <c r="C18" t="s">
        <v>37</v>
      </c>
      <c r="D18" s="70" t="s">
        <v>38</v>
      </c>
      <c r="E18" s="14">
        <v>1</v>
      </c>
      <c r="F18">
        <v>13</v>
      </c>
      <c r="G18" s="15">
        <f t="shared" ref="G18:G22" si="1">E18*F18</f>
        <v>13</v>
      </c>
      <c r="H18" s="16" t="s">
        <v>15</v>
      </c>
    </row>
    <row r="19" spans="1:8" ht="15" customHeight="1" x14ac:dyDescent="0.25">
      <c r="A19" s="12"/>
      <c r="B19" t="s">
        <v>39</v>
      </c>
      <c r="C19" t="s">
        <v>40</v>
      </c>
      <c r="D19" s="70" t="s">
        <v>38</v>
      </c>
      <c r="E19" s="14">
        <v>1</v>
      </c>
      <c r="F19">
        <v>2000</v>
      </c>
      <c r="G19" s="15">
        <f t="shared" si="1"/>
        <v>2000</v>
      </c>
      <c r="H19" s="16" t="s">
        <v>15</v>
      </c>
    </row>
    <row r="20" spans="1:8" ht="15" customHeight="1" x14ac:dyDescent="0.25">
      <c r="A20" s="12"/>
      <c r="D20" s="14"/>
      <c r="E20" s="14"/>
      <c r="G20" s="15">
        <f t="shared" si="1"/>
        <v>0</v>
      </c>
      <c r="H20" s="16" t="s">
        <v>15</v>
      </c>
    </row>
    <row r="21" spans="1:8" ht="15" customHeight="1" x14ac:dyDescent="0.25">
      <c r="A21" s="12"/>
      <c r="D21" s="14"/>
      <c r="E21" s="14"/>
      <c r="G21" s="15">
        <f t="shared" si="1"/>
        <v>0</v>
      </c>
      <c r="H21" s="16" t="s">
        <v>15</v>
      </c>
    </row>
    <row r="22" spans="1:8" ht="15" customHeight="1" x14ac:dyDescent="0.25">
      <c r="A22" s="12"/>
      <c r="D22" s="14"/>
      <c r="E22" s="14"/>
      <c r="G22" s="15">
        <f t="shared" si="1"/>
        <v>0</v>
      </c>
      <c r="H22" s="16" t="s">
        <v>15</v>
      </c>
    </row>
    <row r="23" spans="1:8" ht="15" customHeight="1" x14ac:dyDescent="0.25">
      <c r="A23" s="12"/>
      <c r="B23" s="58" t="s">
        <v>17</v>
      </c>
      <c r="C23" s="54"/>
      <c r="D23" s="54"/>
      <c r="E23" s="54"/>
      <c r="F23" s="54"/>
      <c r="G23" s="15">
        <f>SUM(G18:G22)</f>
        <v>2013</v>
      </c>
      <c r="H23" s="16" t="s">
        <v>15</v>
      </c>
    </row>
    <row r="24" spans="1:8" ht="15" customHeight="1" x14ac:dyDescent="0.25">
      <c r="A24" s="12"/>
      <c r="B24" s="58" t="s">
        <v>18</v>
      </c>
      <c r="C24" s="54"/>
      <c r="D24" s="54"/>
      <c r="E24" s="54"/>
      <c r="F24" s="54"/>
      <c r="G24" s="24">
        <v>0.25</v>
      </c>
      <c r="H24" s="24"/>
    </row>
    <row r="25" spans="1:8" ht="15" customHeight="1" x14ac:dyDescent="0.25">
      <c r="A25" s="25"/>
      <c r="B25" s="59" t="s">
        <v>46</v>
      </c>
      <c r="C25" s="54"/>
      <c r="D25" s="54"/>
      <c r="E25" s="54"/>
      <c r="F25" s="54"/>
      <c r="G25" s="15">
        <f>G23*(1+G24)</f>
        <v>2516.25</v>
      </c>
      <c r="H25" s="16" t="s">
        <v>15</v>
      </c>
    </row>
    <row r="26" spans="1:8" ht="15" customHeight="1" x14ac:dyDescent="0.25">
      <c r="A26" s="26"/>
      <c r="B26" s="27"/>
      <c r="C26" s="27"/>
      <c r="D26" s="13"/>
      <c r="E26" s="13"/>
      <c r="F26" s="28"/>
      <c r="G26" s="29"/>
      <c r="H26" s="15"/>
    </row>
    <row r="27" spans="1:8" ht="15" customHeight="1" x14ac:dyDescent="0.25">
      <c r="A27" s="26" t="s">
        <v>19</v>
      </c>
      <c r="B27" s="27" t="s">
        <v>42</v>
      </c>
      <c r="C27" s="27" t="s">
        <v>43</v>
      </c>
      <c r="D27" s="28" t="s">
        <v>38</v>
      </c>
      <c r="E27" s="13">
        <v>1</v>
      </c>
      <c r="F27" s="28">
        <v>3000</v>
      </c>
      <c r="G27" s="29">
        <f>E27*F27</f>
        <v>3000</v>
      </c>
      <c r="H27" s="16" t="s">
        <v>15</v>
      </c>
    </row>
    <row r="28" spans="1:8" ht="15" customHeight="1" x14ac:dyDescent="0.25">
      <c r="A28" s="30"/>
      <c r="B28" s="60" t="s">
        <v>44</v>
      </c>
      <c r="C28" s="61"/>
      <c r="D28" s="61"/>
      <c r="E28" s="61"/>
      <c r="F28" s="61"/>
      <c r="G28" s="29">
        <f>G27-G25</f>
        <v>483.75</v>
      </c>
      <c r="H28" s="16" t="s">
        <v>15</v>
      </c>
    </row>
    <row r="29" spans="1:8" ht="15" customHeight="1" x14ac:dyDescent="0.25">
      <c r="A29" s="22" t="s">
        <v>22</v>
      </c>
      <c r="B29" s="8" t="s">
        <v>7</v>
      </c>
      <c r="C29" s="8" t="s">
        <v>8</v>
      </c>
      <c r="D29" s="9" t="s">
        <v>9</v>
      </c>
      <c r="E29" s="9" t="s">
        <v>10</v>
      </c>
      <c r="F29" s="10" t="s">
        <v>11</v>
      </c>
      <c r="G29" s="31" t="s">
        <v>12</v>
      </c>
      <c r="H29" s="31" t="s">
        <v>13</v>
      </c>
    </row>
    <row r="30" spans="1:8" ht="15" customHeight="1" x14ac:dyDescent="0.25">
      <c r="A30" s="12"/>
      <c r="B30" t="s">
        <v>45</v>
      </c>
      <c r="C30" t="s">
        <v>34</v>
      </c>
      <c r="D30" s="14" t="s">
        <v>35</v>
      </c>
      <c r="E30" s="14">
        <v>1</v>
      </c>
      <c r="F30">
        <v>500</v>
      </c>
      <c r="G30" s="15">
        <f t="shared" ref="G30:G34" si="2">E30*F30</f>
        <v>500</v>
      </c>
      <c r="H30" s="16" t="s">
        <v>15</v>
      </c>
    </row>
    <row r="31" spans="1:8" ht="15" customHeight="1" x14ac:dyDescent="0.25">
      <c r="A31" s="12"/>
      <c r="B31" s="17"/>
      <c r="C31" s="17"/>
      <c r="D31" s="13"/>
      <c r="E31" s="13"/>
      <c r="F31" s="17"/>
      <c r="G31" s="15">
        <f t="shared" si="2"/>
        <v>0</v>
      </c>
      <c r="H31" s="16" t="s">
        <v>15</v>
      </c>
    </row>
    <row r="32" spans="1:8" ht="15" customHeight="1" x14ac:dyDescent="0.25">
      <c r="A32" s="12"/>
      <c r="D32" s="14"/>
      <c r="E32" s="14"/>
      <c r="G32" s="15">
        <f t="shared" si="2"/>
        <v>0</v>
      </c>
      <c r="H32" s="16" t="s">
        <v>15</v>
      </c>
    </row>
    <row r="33" spans="1:8" ht="15" customHeight="1" x14ac:dyDescent="0.25">
      <c r="A33" s="12"/>
      <c r="D33" s="14"/>
      <c r="E33" s="14"/>
      <c r="G33" s="15">
        <f t="shared" si="2"/>
        <v>0</v>
      </c>
      <c r="H33" s="16" t="s">
        <v>15</v>
      </c>
    </row>
    <row r="34" spans="1:8" ht="15" customHeight="1" x14ac:dyDescent="0.25">
      <c r="A34" s="12"/>
      <c r="D34" s="14"/>
      <c r="E34" s="14"/>
      <c r="G34" s="15">
        <f t="shared" si="2"/>
        <v>0</v>
      </c>
      <c r="H34" s="16" t="s">
        <v>15</v>
      </c>
    </row>
    <row r="35" spans="1:8" ht="15" customHeight="1" x14ac:dyDescent="0.25">
      <c r="A35" s="12"/>
      <c r="B35" s="58" t="s">
        <v>17</v>
      </c>
      <c r="C35" s="54"/>
      <c r="D35" s="54"/>
      <c r="E35" s="54"/>
      <c r="F35" s="54"/>
      <c r="G35" s="15">
        <f>SUM(G30:G34)</f>
        <v>500</v>
      </c>
      <c r="H35" s="16" t="s">
        <v>15</v>
      </c>
    </row>
    <row r="36" spans="1:8" ht="15" customHeight="1" x14ac:dyDescent="0.25">
      <c r="A36" s="12"/>
      <c r="B36" s="58" t="s">
        <v>18</v>
      </c>
      <c r="C36" s="54"/>
      <c r="D36" s="54"/>
      <c r="E36" s="54"/>
      <c r="F36" s="54"/>
      <c r="G36" s="24">
        <v>0.25</v>
      </c>
      <c r="H36" s="24"/>
    </row>
    <row r="37" spans="1:8" ht="15" customHeight="1" x14ac:dyDescent="0.25">
      <c r="A37" s="25"/>
      <c r="B37" s="59" t="s">
        <v>23</v>
      </c>
      <c r="C37" s="54"/>
      <c r="D37" s="54"/>
      <c r="E37" s="54"/>
      <c r="F37" s="54"/>
      <c r="G37" s="15">
        <f>G35*(1+G36)</f>
        <v>625</v>
      </c>
      <c r="H37" s="16" t="s">
        <v>15</v>
      </c>
    </row>
    <row r="38" spans="1:8" ht="15" customHeight="1" x14ac:dyDescent="0.25">
      <c r="A38" s="26"/>
      <c r="B38" s="27"/>
      <c r="C38" s="27"/>
      <c r="D38" s="13"/>
      <c r="E38" s="13"/>
      <c r="F38" s="28"/>
      <c r="G38" s="29"/>
      <c r="H38" s="15"/>
    </row>
    <row r="39" spans="1:8" ht="15" customHeight="1" x14ac:dyDescent="0.25">
      <c r="A39" s="26" t="s">
        <v>20</v>
      </c>
      <c r="B39" s="27" t="s">
        <v>47</v>
      </c>
      <c r="C39" t="s">
        <v>48</v>
      </c>
      <c r="D39" s="13" t="s">
        <v>35</v>
      </c>
      <c r="E39" s="13">
        <v>1</v>
      </c>
      <c r="F39" s="28">
        <v>3000</v>
      </c>
      <c r="G39" s="29">
        <f>E39*F39</f>
        <v>3000</v>
      </c>
      <c r="H39" s="16" t="s">
        <v>15</v>
      </c>
    </row>
    <row r="40" spans="1:8" ht="15" customHeight="1" x14ac:dyDescent="0.25">
      <c r="A40" s="30"/>
      <c r="B40" s="60" t="s">
        <v>21</v>
      </c>
      <c r="C40" s="61"/>
      <c r="D40" s="61"/>
      <c r="E40" s="61"/>
      <c r="F40" s="61"/>
      <c r="G40" s="29">
        <f>G39-G37</f>
        <v>2375</v>
      </c>
      <c r="H40" s="16" t="s">
        <v>15</v>
      </c>
    </row>
    <row r="41" spans="1:8" ht="15" customHeight="1" x14ac:dyDescent="0.25">
      <c r="A41" s="22"/>
      <c r="B41" s="8"/>
      <c r="C41" s="8"/>
      <c r="D41" s="9"/>
      <c r="E41" s="9"/>
      <c r="F41" s="10"/>
      <c r="G41" s="31" t="s">
        <v>12</v>
      </c>
      <c r="H41" s="31"/>
    </row>
    <row r="42" spans="1:8" ht="15" customHeight="1" x14ac:dyDescent="0.25">
      <c r="A42" s="12"/>
      <c r="B42" s="17"/>
      <c r="D42" s="13"/>
      <c r="E42" s="14"/>
      <c r="F42" s="17"/>
      <c r="G42" s="16"/>
      <c r="H42" s="16"/>
    </row>
    <row r="43" spans="1:8" ht="15" customHeight="1" x14ac:dyDescent="0.25">
      <c r="A43" s="12"/>
      <c r="D43" s="14"/>
      <c r="E43" s="14"/>
      <c r="G43" s="15"/>
      <c r="H43" s="16"/>
    </row>
    <row r="44" spans="1:8" ht="15" customHeight="1" x14ac:dyDescent="0.25">
      <c r="A44" s="12"/>
      <c r="D44" s="14"/>
      <c r="E44" s="14"/>
      <c r="G44" s="15"/>
      <c r="H44" s="16"/>
    </row>
    <row r="45" spans="1:8" ht="15" customHeight="1" x14ac:dyDescent="0.25">
      <c r="A45" s="12"/>
      <c r="D45" s="14"/>
      <c r="E45" s="14"/>
      <c r="G45" s="15"/>
      <c r="H45" s="16"/>
    </row>
    <row r="46" spans="1:8" ht="15" customHeight="1" x14ac:dyDescent="0.25">
      <c r="A46" s="12"/>
      <c r="B46" s="58"/>
      <c r="C46" s="54"/>
      <c r="D46" s="54"/>
      <c r="E46" s="54"/>
      <c r="F46" s="54"/>
      <c r="G46" s="15"/>
      <c r="H46" s="16"/>
    </row>
    <row r="47" spans="1:8" ht="15" customHeight="1" x14ac:dyDescent="0.25">
      <c r="A47" s="12"/>
      <c r="B47" s="58"/>
      <c r="C47" s="54"/>
      <c r="D47" s="54"/>
      <c r="E47" s="54"/>
      <c r="F47" s="54"/>
      <c r="G47" s="24"/>
      <c r="H47" s="24"/>
    </row>
    <row r="48" spans="1:8" ht="15" customHeight="1" x14ac:dyDescent="0.25">
      <c r="A48" s="12"/>
      <c r="B48" s="59"/>
      <c r="C48" s="54"/>
      <c r="D48" s="54"/>
      <c r="E48" s="54"/>
      <c r="F48" s="54"/>
      <c r="G48" s="15"/>
      <c r="H48" s="16"/>
    </row>
    <row r="49" spans="1:8" ht="15" customHeight="1" x14ac:dyDescent="0.25">
      <c r="A49" s="26"/>
      <c r="B49" s="27"/>
      <c r="C49" s="27"/>
      <c r="D49" s="13"/>
      <c r="E49" s="13"/>
      <c r="F49" s="28"/>
      <c r="G49" s="29"/>
      <c r="H49" s="15"/>
    </row>
    <row r="50" spans="1:8" ht="15" customHeight="1" x14ac:dyDescent="0.25">
      <c r="A50" s="26"/>
      <c r="B50" s="27"/>
      <c r="C50" s="27"/>
      <c r="D50" s="13"/>
      <c r="E50" s="13"/>
      <c r="F50" s="28"/>
      <c r="G50" s="29"/>
      <c r="H50" s="16"/>
    </row>
    <row r="51" spans="1:8" ht="15" customHeight="1" x14ac:dyDescent="0.25">
      <c r="A51" s="30"/>
      <c r="B51" s="60"/>
      <c r="C51" s="61"/>
      <c r="D51" s="61"/>
      <c r="E51" s="61"/>
      <c r="F51" s="61"/>
      <c r="G51" s="29"/>
      <c r="H51" s="16"/>
    </row>
    <row r="52" spans="1:8" ht="15" customHeight="1" x14ac:dyDescent="0.25">
      <c r="A52" s="22"/>
      <c r="B52" s="8"/>
      <c r="C52" s="8"/>
      <c r="D52" s="9"/>
      <c r="E52" s="9"/>
      <c r="F52" s="10"/>
      <c r="G52" s="31"/>
      <c r="H52" s="31"/>
    </row>
    <row r="53" spans="1:8" ht="15" customHeight="1" x14ac:dyDescent="0.25">
      <c r="A53" s="12"/>
      <c r="B53" s="17"/>
      <c r="D53" s="13"/>
      <c r="E53" s="14"/>
      <c r="G53" s="15"/>
      <c r="H53" s="16"/>
    </row>
    <row r="54" spans="1:8" ht="15" customHeight="1" x14ac:dyDescent="0.25">
      <c r="A54" s="12"/>
      <c r="D54" s="14"/>
      <c r="E54" s="14"/>
      <c r="G54" s="15"/>
      <c r="H54" s="16"/>
    </row>
    <row r="55" spans="1:8" ht="15" customHeight="1" x14ac:dyDescent="0.25">
      <c r="A55" s="12"/>
      <c r="D55" s="14"/>
      <c r="E55" s="14"/>
      <c r="G55" s="15"/>
      <c r="H55" s="16"/>
    </row>
    <row r="56" spans="1:8" ht="15" customHeight="1" x14ac:dyDescent="0.25">
      <c r="A56" s="12"/>
      <c r="D56" s="14"/>
      <c r="E56" s="14"/>
      <c r="G56" s="15"/>
      <c r="H56" s="16"/>
    </row>
    <row r="57" spans="1:8" ht="15" customHeight="1" x14ac:dyDescent="0.25">
      <c r="A57" s="12"/>
      <c r="B57" s="58"/>
      <c r="C57" s="54"/>
      <c r="D57" s="54"/>
      <c r="E57" s="54"/>
      <c r="F57" s="54"/>
      <c r="G57" s="15"/>
      <c r="H57" s="16"/>
    </row>
    <row r="58" spans="1:8" ht="15" customHeight="1" x14ac:dyDescent="0.25">
      <c r="A58" s="12"/>
      <c r="B58" s="58"/>
      <c r="C58" s="54"/>
      <c r="D58" s="54"/>
      <c r="E58" s="54"/>
      <c r="F58" s="54"/>
      <c r="G58" s="24"/>
      <c r="H58" s="24"/>
    </row>
    <row r="59" spans="1:8" ht="15" customHeight="1" x14ac:dyDescent="0.25">
      <c r="A59" s="12"/>
      <c r="B59" s="59"/>
      <c r="C59" s="54"/>
      <c r="D59" s="54"/>
      <c r="E59" s="54"/>
      <c r="F59" s="54"/>
      <c r="G59" s="15"/>
      <c r="H59" s="16"/>
    </row>
    <row r="60" spans="1:8" ht="15" customHeight="1" x14ac:dyDescent="0.25">
      <c r="A60" s="26"/>
      <c r="B60" s="17"/>
      <c r="D60" s="13"/>
      <c r="E60" s="14"/>
      <c r="G60" s="15"/>
      <c r="H60" s="21"/>
    </row>
    <row r="61" spans="1:8" ht="15" customHeight="1" x14ac:dyDescent="0.25">
      <c r="A61" s="26"/>
      <c r="B61" s="17"/>
      <c r="D61" s="13"/>
      <c r="E61" s="14"/>
      <c r="G61" s="15"/>
      <c r="H61" s="16"/>
    </row>
    <row r="62" spans="1:8" ht="15" customHeight="1" x14ac:dyDescent="0.25">
      <c r="A62" s="12"/>
      <c r="B62" s="62"/>
      <c r="C62" s="54"/>
      <c r="D62" s="54"/>
      <c r="E62" s="54"/>
      <c r="F62" s="54"/>
      <c r="G62" s="29"/>
      <c r="H62" s="16"/>
    </row>
    <row r="63" spans="1:8" ht="15" customHeight="1" x14ac:dyDescent="0.25">
      <c r="A63" s="32"/>
      <c r="B63" s="33"/>
      <c r="C63" s="33"/>
      <c r="D63" s="33"/>
      <c r="E63" s="33"/>
      <c r="F63" s="33"/>
      <c r="G63" s="34"/>
      <c r="H63" s="35"/>
    </row>
    <row r="64" spans="1:8" ht="15" customHeight="1" x14ac:dyDescent="0.25">
      <c r="A64" s="55" t="s">
        <v>24</v>
      </c>
      <c r="B64" s="56"/>
      <c r="C64" s="56"/>
      <c r="D64" s="56"/>
      <c r="E64" s="56"/>
      <c r="F64" s="56"/>
      <c r="G64" s="56"/>
      <c r="H64" s="57"/>
    </row>
    <row r="65" spans="1:8" ht="15" customHeight="1" x14ac:dyDescent="0.25">
      <c r="A65" s="63" t="s">
        <v>49</v>
      </c>
      <c r="B65" s="61"/>
      <c r="C65" s="61"/>
      <c r="D65" s="61"/>
      <c r="E65" s="61"/>
      <c r="F65" s="61"/>
      <c r="G65" s="61"/>
      <c r="H65" s="64"/>
    </row>
    <row r="66" spans="1:8" ht="15" customHeight="1" x14ac:dyDescent="0.25">
      <c r="A66" s="55" t="s">
        <v>25</v>
      </c>
      <c r="B66" s="56"/>
      <c r="C66" s="56"/>
      <c r="D66" s="56"/>
      <c r="E66" s="56"/>
      <c r="F66" s="56"/>
      <c r="G66" s="56"/>
      <c r="H66" s="57"/>
    </row>
    <row r="67" spans="1:8" ht="15" customHeight="1" x14ac:dyDescent="0.25">
      <c r="A67" s="22" t="s">
        <v>26</v>
      </c>
      <c r="B67" s="8" t="s">
        <v>7</v>
      </c>
      <c r="C67" s="8" t="s">
        <v>8</v>
      </c>
      <c r="D67" s="9" t="s">
        <v>9</v>
      </c>
      <c r="E67" s="36" t="s">
        <v>27</v>
      </c>
      <c r="F67" s="10" t="s">
        <v>11</v>
      </c>
      <c r="G67" s="31" t="s">
        <v>12</v>
      </c>
      <c r="H67" s="31" t="s">
        <v>13</v>
      </c>
    </row>
    <row r="68" spans="1:8" ht="15" customHeight="1" x14ac:dyDescent="0.25">
      <c r="A68" s="37" t="s">
        <v>28</v>
      </c>
      <c r="B68" s="27" t="s">
        <v>29</v>
      </c>
      <c r="C68" s="13" t="s">
        <v>14</v>
      </c>
      <c r="D68" s="13" t="s">
        <v>50</v>
      </c>
      <c r="E68" s="13" t="s">
        <v>38</v>
      </c>
      <c r="F68" s="28">
        <v>3000</v>
      </c>
      <c r="G68" s="38">
        <v>3000</v>
      </c>
      <c r="H68" s="39" t="s">
        <v>15</v>
      </c>
    </row>
    <row r="69" spans="1:8" ht="15" customHeight="1" x14ac:dyDescent="0.25">
      <c r="A69" s="40"/>
      <c r="B69" s="27"/>
      <c r="C69" s="27"/>
      <c r="D69" s="13"/>
      <c r="E69" s="13"/>
      <c r="F69" s="28"/>
      <c r="G69" s="29"/>
      <c r="H69" s="41"/>
    </row>
    <row r="70" spans="1:8" ht="15" customHeight="1" x14ac:dyDescent="0.25">
      <c r="A70" s="67" t="s">
        <v>30</v>
      </c>
      <c r="B70" s="27"/>
      <c r="C70" s="27"/>
      <c r="D70" s="13"/>
      <c r="E70" s="13"/>
      <c r="F70" s="28"/>
      <c r="G70" s="29"/>
      <c r="H70" s="16"/>
    </row>
    <row r="71" spans="1:8" ht="15" customHeight="1" x14ac:dyDescent="0.25">
      <c r="A71" s="68"/>
      <c r="B71" s="27"/>
      <c r="C71" s="27"/>
      <c r="D71" s="13"/>
      <c r="E71" s="13"/>
      <c r="F71" s="28"/>
      <c r="G71" s="29"/>
      <c r="H71" s="16"/>
    </row>
    <row r="72" spans="1:8" ht="15" customHeight="1" x14ac:dyDescent="0.25">
      <c r="A72" s="68"/>
      <c r="B72" s="17" t="s">
        <v>51</v>
      </c>
      <c r="C72" t="s">
        <v>48</v>
      </c>
      <c r="D72" s="13" t="s">
        <v>52</v>
      </c>
      <c r="E72" s="14" t="s">
        <v>35</v>
      </c>
      <c r="F72">
        <v>3000</v>
      </c>
      <c r="G72" s="15">
        <v>3000</v>
      </c>
      <c r="H72" s="16" t="s">
        <v>15</v>
      </c>
    </row>
    <row r="73" spans="1:8" ht="15" customHeight="1" x14ac:dyDescent="0.25">
      <c r="A73" s="40"/>
      <c r="B73" s="62" t="s">
        <v>31</v>
      </c>
      <c r="C73" s="54"/>
      <c r="D73" s="54"/>
      <c r="E73" s="54"/>
      <c r="F73" s="54"/>
      <c r="G73" s="38">
        <f>G68-SUM(G70:G72)</f>
        <v>0</v>
      </c>
      <c r="H73" s="39" t="s">
        <v>15</v>
      </c>
    </row>
    <row r="74" spans="1:8" ht="15" customHeight="1" x14ac:dyDescent="0.25">
      <c r="A74" s="40"/>
      <c r="B74" s="3"/>
      <c r="C74" s="3"/>
      <c r="D74" s="20"/>
      <c r="E74" s="20"/>
      <c r="F74" s="20"/>
      <c r="G74" s="42"/>
      <c r="H74" s="43"/>
    </row>
    <row r="75" spans="1:8" ht="15" customHeight="1" x14ac:dyDescent="0.25">
      <c r="A75" s="22"/>
      <c r="B75" s="8"/>
      <c r="C75" s="8"/>
      <c r="D75" s="9"/>
      <c r="E75" s="36"/>
      <c r="F75" s="10"/>
      <c r="G75" s="31"/>
      <c r="H75" s="31"/>
    </row>
    <row r="76" spans="1:8" ht="15" customHeight="1" x14ac:dyDescent="0.25">
      <c r="A76" s="37"/>
      <c r="B76" s="27"/>
      <c r="C76" s="13"/>
      <c r="D76" s="13"/>
      <c r="E76" s="13"/>
      <c r="F76" s="28"/>
      <c r="G76" s="38"/>
      <c r="H76" s="39"/>
    </row>
    <row r="77" spans="1:8" ht="15" customHeight="1" x14ac:dyDescent="0.25">
      <c r="A77" s="40"/>
      <c r="B77" s="27"/>
      <c r="C77" s="27"/>
      <c r="D77" s="13"/>
      <c r="E77" s="13"/>
      <c r="F77" s="28"/>
      <c r="G77" s="29"/>
      <c r="H77" s="41"/>
    </row>
    <row r="78" spans="1:8" ht="15" customHeight="1" x14ac:dyDescent="0.25">
      <c r="A78" s="67"/>
      <c r="B78" s="27"/>
      <c r="C78" s="27"/>
      <c r="D78" s="13"/>
      <c r="E78" s="13"/>
      <c r="F78" s="28"/>
      <c r="G78" s="29"/>
      <c r="H78" s="16"/>
    </row>
    <row r="79" spans="1:8" ht="15" customHeight="1" x14ac:dyDescent="0.25">
      <c r="A79" s="68"/>
      <c r="B79" s="27"/>
      <c r="C79" s="27"/>
      <c r="D79" s="13"/>
      <c r="E79" s="13"/>
      <c r="F79" s="28"/>
      <c r="G79" s="29"/>
      <c r="H79" s="16"/>
    </row>
    <row r="80" spans="1:8" ht="15" customHeight="1" x14ac:dyDescent="0.25">
      <c r="A80" s="68"/>
      <c r="B80" s="17"/>
      <c r="D80" s="13"/>
      <c r="E80" s="14"/>
      <c r="G80" s="15"/>
      <c r="H80" s="16"/>
    </row>
    <row r="81" spans="1:8" ht="15" customHeight="1" x14ac:dyDescent="0.25">
      <c r="A81" s="40"/>
      <c r="B81" s="62"/>
      <c r="C81" s="54"/>
      <c r="D81" s="54"/>
      <c r="E81" s="54"/>
      <c r="F81" s="54"/>
      <c r="G81" s="38"/>
      <c r="H81" s="39"/>
    </row>
    <row r="82" spans="1:8" ht="15" customHeight="1" x14ac:dyDescent="0.25">
      <c r="A82" s="25"/>
      <c r="B82" s="17"/>
      <c r="D82" s="44"/>
      <c r="E82" s="13"/>
      <c r="F82" s="17"/>
      <c r="G82" s="15"/>
      <c r="H82" s="45"/>
    </row>
    <row r="83" spans="1:8" ht="15" customHeight="1" x14ac:dyDescent="0.25">
      <c r="A83" s="55"/>
      <c r="B83" s="56"/>
      <c r="C83" s="56"/>
      <c r="D83" s="56"/>
      <c r="E83" s="56"/>
      <c r="F83" s="69"/>
      <c r="G83" s="46"/>
      <c r="H83" s="46"/>
    </row>
    <row r="84" spans="1:8" ht="15" customHeight="1" x14ac:dyDescent="0.25">
      <c r="A84" s="47"/>
      <c r="B84" s="48"/>
      <c r="C84" s="48"/>
      <c r="D84" s="49"/>
      <c r="E84" s="49"/>
      <c r="F84" s="50"/>
      <c r="G84" s="51"/>
      <c r="H84" s="52"/>
    </row>
    <row r="85" spans="1:8" ht="15" customHeight="1" x14ac:dyDescent="0.25">
      <c r="A85" s="12"/>
      <c r="D85" s="13"/>
      <c r="E85" s="14"/>
      <c r="F85" s="17"/>
      <c r="G85" s="15"/>
      <c r="H85" s="15"/>
    </row>
    <row r="86" spans="1:8" ht="15" customHeight="1" x14ac:dyDescent="0.25">
      <c r="A86" s="12"/>
      <c r="D86" s="14"/>
      <c r="E86" s="14"/>
      <c r="F86" s="23"/>
      <c r="G86" s="15"/>
      <c r="H86" s="16"/>
    </row>
    <row r="87" spans="1:8" ht="15" customHeight="1" x14ac:dyDescent="0.25">
      <c r="A87" s="65"/>
      <c r="B87" s="54"/>
      <c r="C87" s="54"/>
      <c r="D87" s="54"/>
      <c r="E87" s="54"/>
      <c r="F87" s="54"/>
      <c r="G87" s="54"/>
      <c r="H87" s="54"/>
    </row>
    <row r="88" spans="1:8" ht="15" customHeight="1" x14ac:dyDescent="0.25"/>
    <row r="89" spans="1:8" ht="15" customHeight="1" x14ac:dyDescent="0.25">
      <c r="A89" s="66"/>
      <c r="B89" s="54"/>
      <c r="C89" s="54"/>
      <c r="D89" s="54"/>
      <c r="E89" s="54"/>
      <c r="F89" s="54"/>
      <c r="G89" s="54"/>
      <c r="H89" s="54"/>
    </row>
  </sheetData>
  <mergeCells count="29">
    <mergeCell ref="A65:H65"/>
    <mergeCell ref="A87:H87"/>
    <mergeCell ref="A89:H89"/>
    <mergeCell ref="A66:H66"/>
    <mergeCell ref="A70:A72"/>
    <mergeCell ref="B73:F73"/>
    <mergeCell ref="A78:A80"/>
    <mergeCell ref="B81:F81"/>
    <mergeCell ref="A83:F83"/>
    <mergeCell ref="B57:F57"/>
    <mergeCell ref="B58:F58"/>
    <mergeCell ref="B59:F59"/>
    <mergeCell ref="B62:F62"/>
    <mergeCell ref="A64:H64"/>
    <mergeCell ref="B40:F40"/>
    <mergeCell ref="B46:F46"/>
    <mergeCell ref="B47:F47"/>
    <mergeCell ref="B48:F48"/>
    <mergeCell ref="B51:F51"/>
    <mergeCell ref="B25:F25"/>
    <mergeCell ref="B28:F28"/>
    <mergeCell ref="B35:F35"/>
    <mergeCell ref="B36:F36"/>
    <mergeCell ref="B37:F37"/>
    <mergeCell ref="A1:H1"/>
    <mergeCell ref="A7:H7"/>
    <mergeCell ref="A16:H16"/>
    <mergeCell ref="B23:F23"/>
    <mergeCell ref="B24:F24"/>
  </mergeCells>
  <conditionalFormatting sqref="G28 G40 G51 G62">
    <cfRule type="cellIs" dxfId="0" priority="1" operator="less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Bob Belcher</cp:lastModifiedBy>
  <dcterms:modified xsi:type="dcterms:W3CDTF">2026-05-05T01:14:43Z</dcterms:modified>
</cp:coreProperties>
</file>